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as\OneDrive\Dokumenty\Work\PP\PM\Projekt\"/>
    </mc:Choice>
  </mc:AlternateContent>
  <xr:revisionPtr revIDLastSave="0" documentId="13_ncr:1_{0C92DA05-893C-4471-AE5F-B9CF4B55AB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</workbook>
</file>

<file path=xl/calcChain.xml><?xml version="1.0" encoding="utf-8"?>
<calcChain xmlns="http://schemas.openxmlformats.org/spreadsheetml/2006/main">
  <c r="J14" i="1" l="1"/>
  <c r="I14" i="1"/>
  <c r="J12" i="1"/>
  <c r="I12" i="1"/>
  <c r="J11" i="1"/>
  <c r="I11" i="1"/>
  <c r="J8" i="1"/>
  <c r="I8" i="1"/>
  <c r="J7" i="1"/>
  <c r="I7" i="1"/>
  <c r="J6" i="1"/>
  <c r="I6" i="1"/>
  <c r="J5" i="1"/>
  <c r="I5" i="1"/>
  <c r="J4" i="1"/>
  <c r="I4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I3" i="1" l="1"/>
  <c r="J3" i="1"/>
  <c r="J15" i="1" l="1"/>
  <c r="C19" i="1" l="1"/>
  <c r="C20" i="1"/>
  <c r="I15" i="1"/>
  <c r="I18" i="1" s="1"/>
  <c r="E19" i="1" l="1"/>
  <c r="E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tpiascik</author>
  </authors>
  <commentList>
    <comment ref="I15" authorId="0" shapeId="0" xr:uid="{F33F2153-B160-4E87-9B6F-413B87F862ED}">
      <text>
        <r>
          <rPr>
            <b/>
            <sz val="9"/>
            <color indexed="81"/>
            <rFont val="Tahoma"/>
            <charset val="1"/>
          </rPr>
          <t>tpiascik:</t>
        </r>
        <r>
          <rPr>
            <sz val="9"/>
            <color indexed="81"/>
            <rFont val="Tahoma"/>
            <charset val="1"/>
          </rPr>
          <t xml:space="preserve">
suma wariancji czasu wykonania zadań leżących na ścieżce krytycznej</t>
        </r>
      </text>
    </comment>
    <comment ref="J15" authorId="0" shapeId="0" xr:uid="{06FE088E-62D1-4C30-9302-96051E3599E0}">
      <text>
        <r>
          <rPr>
            <b/>
            <sz val="9"/>
            <color indexed="81"/>
            <rFont val="Tahoma"/>
            <charset val="1"/>
          </rPr>
          <t>tpiascik:</t>
        </r>
        <r>
          <rPr>
            <sz val="9"/>
            <color indexed="81"/>
            <rFont val="Tahoma"/>
            <charset val="1"/>
          </rPr>
          <t xml:space="preserve">
suma czasów zadań na ścieżce krytycznej</t>
        </r>
      </text>
    </comment>
  </commentList>
</comments>
</file>

<file path=xl/sharedStrings.xml><?xml version="1.0" encoding="utf-8"?>
<sst xmlns="http://schemas.openxmlformats.org/spreadsheetml/2006/main" count="54" uniqueCount="45">
  <si>
    <t>Topt</t>
  </si>
  <si>
    <t>Tpes</t>
  </si>
  <si>
    <t>Te</t>
  </si>
  <si>
    <t>SD</t>
  </si>
  <si>
    <t>NR</t>
  </si>
  <si>
    <t>Opis działania</t>
  </si>
  <si>
    <t>T1</t>
  </si>
  <si>
    <t>T2</t>
  </si>
  <si>
    <t>Przykład</t>
  </si>
  <si>
    <t>VARCP</t>
  </si>
  <si>
    <t>TCP</t>
  </si>
  <si>
    <t>Prev</t>
  </si>
  <si>
    <t>SIGMA_CP</t>
  </si>
  <si>
    <t>ETA</t>
  </si>
  <si>
    <t>PROB</t>
  </si>
  <si>
    <t>TD</t>
  </si>
  <si>
    <t>TPROJ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</si>
  <si>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</si>
  <si>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</si>
  <si>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</si>
  <si>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</si>
  <si>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</si>
  <si>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</si>
  <si>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</si>
  <si>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</si>
  <si>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</si>
  <si>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</si>
  <si>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</si>
  <si>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</si>
  <si>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Tp</t>
  </si>
  <si>
    <t>impreza wolnościowa</t>
  </si>
  <si>
    <t>Miejsce</t>
  </si>
  <si>
    <t>Termin</t>
  </si>
  <si>
    <t>Uczestnicy</t>
  </si>
  <si>
    <t>Definiowanie charakteru imprezy</t>
  </si>
  <si>
    <t>Atrakcje</t>
  </si>
  <si>
    <t>Wykonawcy</t>
  </si>
  <si>
    <t>Scenografia</t>
  </si>
  <si>
    <t>Ochrona</t>
  </si>
  <si>
    <t>Obsługa</t>
  </si>
  <si>
    <t>Katering</t>
  </si>
  <si>
    <t>Sprzęt</t>
  </si>
  <si>
    <t>Zezwolenia</t>
  </si>
  <si>
    <t>G,H,I</t>
  </si>
  <si>
    <t>J,K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</si>
</sst>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zcionka tekstu podstawowego"/>
      <family val="2"/>
      <charset val="238"/>
    </font>
    <font>
      <b/>
      <sz val="12"/>
      <color theme="1"/>
      <name val="Czcionka tekstu podstawowego"/>
      <family val="2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5" xfId="0" applyFill="1" applyBorder="1"/>
    <xf numFmtId="9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160" zoomScaleNormal="160" workbookViewId="0">
      <selection activeCell="F21" sqref="F21"/>
    </sheetView>
  </sheetViews>
  <sheetFormatPr defaultRowHeight="14.25"/>
  <cols>
    <col min="2" max="2" width="51.375" customWidth="1"/>
    <col min="3" max="3" width="9.625" customWidth="1"/>
    <col min="4" max="4" width="8.25" customWidth="1"/>
    <col min="7" max="7" width="9.375" customWidth="1"/>
    <col min="8" max="8" width="10.25" customWidth="1"/>
    <col min="9" max="9" width="9.375" bestFit="1" customWidth="1"/>
  </cols>
  <sheetData>
    <row r="1" spans="1:11" ht="15" thickBot="1">
      <c r="B1" t="s">
        <v>30</v>
      </c>
    </row>
    <row r="2" spans="1:11" ht="16.5" thickBot="1">
      <c r="A2" s="11" t="s">
        <v>4</v>
      </c>
      <c r="B2" s="12" t="s">
        <v>5</v>
      </c>
      <c r="C2" s="12" t="s">
        <v>11</v>
      </c>
      <c r="D2" s="13" t="s">
        <v>0</v>
      </c>
      <c r="E2" s="13" t="s">
        <v>29</v>
      </c>
      <c r="F2" s="13" t="s">
        <v>1</v>
      </c>
      <c r="G2" s="13" t="s">
        <v>2</v>
      </c>
      <c r="H2" s="22" t="s">
        <v>3</v>
      </c>
      <c r="I2" s="24" t="s">
        <v>9</v>
      </c>
      <c r="J2" s="14" t="s">
        <v>10</v>
      </c>
    </row>
    <row r="3" spans="1:11">
      <c r="A3" s="10" t="s">
        <v>17</v>
      </c>
      <c r="B3" s="16" t="s">
        <v>32</v>
      </c>
      <c r="C3" s="3"/>
      <c r="D3" s="4">
        <v>0.5</v>
      </c>
      <c r="E3" s="4">
        <v>1</v>
      </c>
      <c r="F3" s="4">
        <v>2</v>
      </c>
      <c r="G3" s="21">
        <f>ROUND((D3+E3*4+F3)/6,1)</f>
        <v>1.1000000000000001</v>
      </c>
      <c r="H3" s="23">
        <f>ROUND((F3-D3)/6,1)</f>
        <v>0.3</v>
      </c>
      <c r="I3" s="25">
        <f>ROUND(H3^2,2)</f>
        <v>0.09</v>
      </c>
      <c r="J3" s="26">
        <f>G3</f>
        <v>1.1000000000000001</v>
      </c>
    </row>
    <row r="4" spans="1:11">
      <c r="A4" s="5" t="s">
        <v>18</v>
      </c>
      <c r="B4" s="3" t="s">
        <v>31</v>
      </c>
      <c r="C4" s="1" t="s">
        <v>17</v>
      </c>
      <c r="D4" s="2">
        <v>2</v>
      </c>
      <c r="E4" s="2">
        <v>4</v>
      </c>
      <c r="F4" s="2">
        <v>7</v>
      </c>
      <c r="G4" s="21">
        <f>ROUND((D4+E4*4+F4)/6,1)</f>
        <v>4.2</v>
      </c>
      <c r="H4" s="23">
        <f>ROUND((F4-D4)/6,1)</f>
        <v>0.8</v>
      </c>
      <c r="I4" s="25">
        <f t="shared" ref="I4:I14" si="0">ROUND(H4^2,2)</f>
        <v>0.64</v>
      </c>
      <c r="J4" s="26">
        <f t="shared" ref="J4:J14" si="1">G4</f>
        <v>4.2</v>
      </c>
    </row>
    <row r="5" spans="1:11">
      <c r="A5" s="5" t="s">
        <v>19</v>
      </c>
      <c r="B5" s="16" t="s">
        <v>34</v>
      </c>
      <c r="C5" s="1" t="s">
        <v>18</v>
      </c>
      <c r="D5" s="2">
        <v>0.5</v>
      </c>
      <c r="E5" s="2">
        <v>1</v>
      </c>
      <c r="F5" s="2">
        <v>2</v>
      </c>
      <c r="G5" s="21">
        <f>ROUND((D5+E5*4+F5)/6,1)</f>
        <v>1.1000000000000001</v>
      </c>
      <c r="H5" s="23">
        <f>ROUND((F5-D5)/6,1)</f>
        <v>0.3</v>
      </c>
      <c r="I5" s="25">
        <f t="shared" si="0"/>
        <v>0.09</v>
      </c>
      <c r="J5" s="26">
        <f t="shared" si="1"/>
        <v>1.1000000000000001</v>
      </c>
    </row>
    <row r="6" spans="1:11">
      <c r="A6" s="5" t="s">
        <v>20</v>
      </c>
      <c r="B6" s="16" t="s">
        <v>35</v>
      </c>
      <c r="C6" s="1" t="s">
        <v>19</v>
      </c>
      <c r="D6" s="2">
        <v>2</v>
      </c>
      <c r="E6" s="2">
        <v>3</v>
      </c>
      <c r="F6" s="2">
        <v>5</v>
      </c>
      <c r="G6" s="21">
        <f>ROUND((D6+E6*4+F6)/6,1)</f>
        <v>3.2</v>
      </c>
      <c r="H6" s="23">
        <f>ROUND((F6-D6)/6,1)</f>
        <v>0.5</v>
      </c>
      <c r="I6" s="25">
        <f t="shared" si="0"/>
        <v>0.25</v>
      </c>
      <c r="J6" s="26">
        <f t="shared" si="1"/>
        <v>3.2</v>
      </c>
    </row>
    <row r="7" spans="1:11" ht="15" thickBot="1">
      <c r="A7" s="5" t="s">
        <v>21</v>
      </c>
      <c r="B7" s="17" t="s">
        <v>42</v>
      </c>
      <c r="C7" s="1" t="s">
        <v>20</v>
      </c>
      <c r="D7" s="2">
        <v>5</v>
      </c>
      <c r="E7" s="2">
        <v>14</v>
      </c>
      <c r="F7" s="2">
        <v>30</v>
      </c>
      <c r="G7" s="21">
        <f>ROUND((D7+E7*4+F7)/6,1)</f>
        <v>15.2</v>
      </c>
      <c r="H7" s="23">
        <f>ROUND((F7-D7)/6,1)</f>
        <v>4.2</v>
      </c>
      <c r="I7" s="25">
        <f t="shared" si="0"/>
        <v>17.64</v>
      </c>
      <c r="J7" s="26">
        <f t="shared" si="1"/>
        <v>15.2</v>
      </c>
    </row>
    <row r="8" spans="1:11">
      <c r="A8" s="5" t="s">
        <v>22</v>
      </c>
      <c r="B8" s="16" t="s">
        <v>36</v>
      </c>
      <c r="C8" s="1" t="s">
        <v>21</v>
      </c>
      <c r="D8" s="2">
        <v>7</v>
      </c>
      <c r="E8" s="2">
        <v>10</v>
      </c>
      <c r="F8" s="2">
        <v>15</v>
      </c>
      <c r="G8" s="21">
        <f>ROUND((D8+E8*4+F8)/6,1)</f>
        <v>10.3</v>
      </c>
      <c r="H8" s="23">
        <f>ROUND((F8-D8)/6,1)</f>
        <v>1.3</v>
      </c>
      <c r="I8" s="25">
        <f t="shared" si="0"/>
        <v>1.69</v>
      </c>
      <c r="J8" s="26">
        <f t="shared" si="1"/>
        <v>10.3</v>
      </c>
    </row>
    <row r="9" spans="1:11">
      <c r="A9" s="5" t="s">
        <v>23</v>
      </c>
      <c r="B9" s="16" t="s">
        <v>33</v>
      </c>
      <c r="C9" s="1" t="s">
        <v>22</v>
      </c>
      <c r="D9" s="2">
        <v>5</v>
      </c>
      <c r="E9" s="2">
        <v>7</v>
      </c>
      <c r="F9" s="2">
        <v>10</v>
      </c>
      <c r="G9" s="21">
        <f>ROUND((D9+E9*4+F9)/6,1)</f>
        <v>7.2</v>
      </c>
      <c r="H9" s="23">
        <f>ROUND((F9-D9)/6,1)</f>
        <v>0.8</v>
      </c>
      <c r="I9" s="25"/>
      <c r="J9" s="26"/>
    </row>
    <row r="10" spans="1:11">
      <c r="A10" s="5" t="s">
        <v>24</v>
      </c>
      <c r="B10" s="16" t="s">
        <v>37</v>
      </c>
      <c r="C10" s="1" t="s">
        <v>22</v>
      </c>
      <c r="D10" s="2">
        <v>4</v>
      </c>
      <c r="E10" s="2">
        <v>7</v>
      </c>
      <c r="F10" s="2">
        <v>12</v>
      </c>
      <c r="G10" s="21">
        <f>ROUND((D10+E10*4+F10)/6,1)</f>
        <v>7.3</v>
      </c>
      <c r="H10" s="23">
        <f>ROUND((F10-D10)/6,1)</f>
        <v>1.3</v>
      </c>
      <c r="I10" s="25"/>
      <c r="J10" s="26"/>
    </row>
    <row r="11" spans="1:11">
      <c r="A11" s="5" t="s">
        <v>25</v>
      </c>
      <c r="B11" s="16" t="s">
        <v>41</v>
      </c>
      <c r="C11" s="1" t="s">
        <v>22</v>
      </c>
      <c r="D11" s="2">
        <v>2</v>
      </c>
      <c r="E11" s="2">
        <v>7</v>
      </c>
      <c r="F11" s="2">
        <v>14</v>
      </c>
      <c r="G11" s="21">
        <f>ROUND((D11+E11*4+F11)/6,1)</f>
        <v>7.3</v>
      </c>
      <c r="H11" s="23">
        <f>ROUND((F11-D11)/6,1)</f>
        <v>2</v>
      </c>
      <c r="I11" s="25">
        <f t="shared" si="0"/>
        <v>4</v>
      </c>
      <c r="J11" s="26">
        <f t="shared" si="1"/>
        <v>7.3</v>
      </c>
    </row>
    <row r="12" spans="1:11">
      <c r="A12" s="5" t="s">
        <v>26</v>
      </c>
      <c r="B12" s="16" t="s">
        <v>39</v>
      </c>
      <c r="C12" s="1" t="s">
        <v>43</v>
      </c>
      <c r="D12" s="2">
        <v>5</v>
      </c>
      <c r="E12" s="2">
        <v>7</v>
      </c>
      <c r="F12" s="2">
        <v>10</v>
      </c>
      <c r="G12" s="21">
        <f>ROUND((D12+E12*4+F12)/6,1)</f>
        <v>7.2</v>
      </c>
      <c r="H12" s="23">
        <f>ROUND((F12-D12)/6,1)</f>
        <v>0.8</v>
      </c>
      <c r="I12" s="25">
        <f t="shared" si="0"/>
        <v>0.64</v>
      </c>
      <c r="J12" s="26">
        <f t="shared" si="1"/>
        <v>7.2</v>
      </c>
    </row>
    <row r="13" spans="1:11">
      <c r="A13" s="5" t="s">
        <v>27</v>
      </c>
      <c r="B13" s="16" t="s">
        <v>40</v>
      </c>
      <c r="C13" s="1" t="s">
        <v>23</v>
      </c>
      <c r="D13" s="2">
        <v>3</v>
      </c>
      <c r="E13" s="2">
        <v>5</v>
      </c>
      <c r="F13" s="2">
        <v>8</v>
      </c>
      <c r="G13" s="21">
        <f>ROUND((D13+E13*4+F13)/6,1)</f>
        <v>5.2</v>
      </c>
      <c r="H13" s="23">
        <f>ROUND((F13-D13)/6,1)</f>
        <v>0.8</v>
      </c>
      <c r="I13" s="25"/>
      <c r="J13" s="26"/>
    </row>
    <row r="14" spans="1:11" ht="15" thickBot="1">
      <c r="A14" s="6" t="s">
        <v>28</v>
      </c>
      <c r="B14" s="16" t="s">
        <v>38</v>
      </c>
      <c r="C14" s="7" t="s">
        <v>44</v>
      </c>
      <c r="D14" s="8">
        <v>1</v>
      </c>
      <c r="E14" s="8">
        <v>2</v>
      </c>
      <c r="F14" s="8">
        <v>4</v>
      </c>
      <c r="G14" s="21">
        <f>ROUND((D14+E14*4+F14)/6,1)</f>
        <v>2.2000000000000002</v>
      </c>
      <c r="H14" s="23">
        <f>ROUND((F14-D14)/6,1)</f>
        <v>0.5</v>
      </c>
      <c r="I14" s="25">
        <f t="shared" si="0"/>
        <v>0.25</v>
      </c>
      <c r="J14" s="26">
        <f t="shared" si="1"/>
        <v>2.2000000000000002</v>
      </c>
    </row>
    <row r="15" spans="1:11">
      <c r="D15" s="9"/>
      <c r="E15" s="9"/>
      <c r="F15" s="9"/>
      <c r="G15" s="15"/>
      <c r="H15" s="15"/>
      <c r="I15" s="15">
        <f>SUM(I3:I14)</f>
        <v>25.290000000000003</v>
      </c>
      <c r="J15" s="9">
        <f>SUM(J3:J14)</f>
        <v>51.800000000000004</v>
      </c>
      <c r="K15" s="18">
        <v>0.5</v>
      </c>
    </row>
    <row r="16" spans="1:11">
      <c r="D16" s="9"/>
      <c r="E16" s="9"/>
      <c r="F16" s="9"/>
      <c r="G16" s="9"/>
      <c r="H16" s="9"/>
      <c r="I16" s="9"/>
      <c r="J16" s="9"/>
    </row>
    <row r="17" spans="2:10">
      <c r="D17" s="9"/>
      <c r="E17" s="9"/>
      <c r="F17" s="9"/>
      <c r="G17" s="9"/>
      <c r="H17" s="9"/>
      <c r="I17" s="9"/>
      <c r="J17" s="9"/>
    </row>
    <row r="18" spans="2:10">
      <c r="B18" s="19" t="s">
        <v>8</v>
      </c>
      <c r="C18" s="9" t="s">
        <v>16</v>
      </c>
      <c r="D18" s="9" t="s">
        <v>15</v>
      </c>
      <c r="E18" s="9" t="s">
        <v>13</v>
      </c>
      <c r="F18" s="9" t="s">
        <v>14</v>
      </c>
      <c r="G18" s="9"/>
      <c r="H18" s="9" t="s">
        <v>12</v>
      </c>
      <c r="I18" s="9">
        <f>SQRT(I15)</f>
        <v>5.0289163842720637</v>
      </c>
      <c r="J18" s="9"/>
    </row>
    <row r="19" spans="2:10">
      <c r="B19" s="19" t="s">
        <v>6</v>
      </c>
      <c r="C19" s="9">
        <f>J15+D19</f>
        <v>61</v>
      </c>
      <c r="D19" s="9">
        <v>9.1999999999999993</v>
      </c>
      <c r="E19" s="9">
        <f>($C19-$J15)/$I18</f>
        <v>1.8294199579004726</v>
      </c>
      <c r="F19" s="20">
        <v>0.96599999999999997</v>
      </c>
      <c r="G19" s="9"/>
      <c r="H19" s="9"/>
      <c r="I19" s="9"/>
      <c r="J19" s="9"/>
    </row>
    <row r="20" spans="2:10">
      <c r="B20" s="19" t="s">
        <v>7</v>
      </c>
      <c r="C20" s="9">
        <f>J15-D20</f>
        <v>50.000000000000007</v>
      </c>
      <c r="D20" s="9">
        <v>1.8</v>
      </c>
      <c r="E20" s="9">
        <f>($C20-$J15)/$I18</f>
        <v>-0.35792999176313556</v>
      </c>
      <c r="F20" s="20">
        <v>0.36</v>
      </c>
      <c r="G20" s="9"/>
      <c r="H20" s="9"/>
      <c r="I20" s="9"/>
      <c r="J20" s="9"/>
    </row>
    <row r="21" spans="2:10">
      <c r="D21" s="9"/>
      <c r="E21" s="9"/>
      <c r="F21" s="9"/>
      <c r="G21" s="9"/>
      <c r="H21" s="9"/>
      <c r="I21" s="9"/>
      <c r="J21" s="9"/>
    </row>
    <row r="22" spans="2:10">
      <c r="B22" s="16"/>
      <c r="D22" s="9"/>
      <c r="E22" s="9"/>
      <c r="F22" s="9"/>
      <c r="G22" s="9"/>
      <c r="H22" s="9"/>
      <c r="I22" s="9"/>
      <c r="J22" s="9"/>
    </row>
    <row r="23" spans="2:10">
      <c r="D23" s="9"/>
      <c r="E23" s="9"/>
      <c r="F23" s="9"/>
      <c r="G23" s="9"/>
      <c r="H23" s="9"/>
      <c r="I23" s="9"/>
      <c r="J23" s="9"/>
    </row>
    <row r="24" spans="2:10">
      <c r="B24" s="16"/>
      <c r="D24" s="9"/>
      <c r="E24" s="9"/>
      <c r="F24" s="9"/>
      <c r="G24" s="9"/>
      <c r="H24" s="9"/>
      <c r="I24" s="9"/>
      <c r="J24" s="9"/>
    </row>
    <row r="25" spans="2:10">
      <c r="D25" s="9"/>
      <c r="E25" s="9"/>
      <c r="F25" s="9"/>
      <c r="G25" s="9"/>
      <c r="H25" s="9"/>
      <c r="I25" s="9"/>
      <c r="J25" s="9"/>
    </row>
    <row r="26" spans="2:10">
      <c r="B26" s="16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</dc:creator>
  <cp:lastModifiedBy>Tomasz Piaścik</cp:lastModifiedBy>
  <dcterms:created xsi:type="dcterms:W3CDTF">2011-05-11T10:25:33Z</dcterms:created>
  <dcterms:modified xsi:type="dcterms:W3CDTF">2026-05-12T14:27:57Z</dcterms:modified>
</cp:coreProperties>
</file>